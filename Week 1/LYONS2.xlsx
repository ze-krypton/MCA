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CSD\Desktop\MCA (Schwway)\Week 1\Week 1\"/>
    </mc:Choice>
  </mc:AlternateContent>
  <xr:revisionPtr revIDLastSave="0" documentId="13_ncr:1_{B36186DB-DB6F-4FAD-94A1-F54E72E610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YONS" sheetId="1" r:id="rId1"/>
    <sheet name="Formulas" sheetId="2" r:id="rId2"/>
  </sheets>
  <definedNames>
    <definedName name="_xlnm.Print_Area" localSheetId="0">LYONS!$A$2:$G$16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E13" i="1"/>
  <c r="C12" i="1"/>
  <c r="D12" i="1" s="1"/>
  <c r="F12" i="1" s="1"/>
  <c r="G12" i="1" s="1"/>
  <c r="C11" i="1"/>
  <c r="D11" i="1" s="1"/>
  <c r="F11" i="1" s="1"/>
  <c r="G11" i="1" s="1"/>
  <c r="C10" i="1"/>
  <c r="D10" i="1" s="1"/>
  <c r="F10" i="1" s="1"/>
  <c r="G10" i="1" s="1"/>
  <c r="C9" i="1"/>
  <c r="D9" i="1" s="1"/>
  <c r="F9" i="1" s="1"/>
  <c r="G9" i="1" s="1"/>
  <c r="C8" i="1"/>
  <c r="D8" i="1" s="1"/>
  <c r="F8" i="1" s="1"/>
  <c r="F15" i="1" l="1"/>
  <c r="F13" i="1"/>
  <c r="F14" i="1"/>
  <c r="G8" i="1"/>
  <c r="F16" i="1" l="1"/>
  <c r="G14" i="1"/>
  <c r="G15" i="1"/>
  <c r="G13" i="1"/>
</calcChain>
</file>

<file path=xl/sharedStrings.xml><?xml version="1.0" encoding="utf-8"?>
<sst xmlns="http://schemas.openxmlformats.org/spreadsheetml/2006/main" count="32" uniqueCount="32">
  <si>
    <t>LYONS INC – Orange JUICE Sales</t>
  </si>
  <si>
    <t>MARK UP %</t>
  </si>
  <si>
    <t>MCA I SEMESTER – LAB I                                      CAMS-1P01</t>
  </si>
  <si>
    <t>PRODUCT</t>
  </si>
  <si>
    <t>COST PRICE
PER LITRE</t>
  </si>
  <si>
    <t>MARK UP
PER ITEM 35%</t>
  </si>
  <si>
    <t>SELLING
PRICE</t>
  </si>
  <si>
    <t>LITRES
SOLD</t>
  </si>
  <si>
    <t>TOTAL
INCOME</t>
  </si>
  <si>
    <t>PROFIT</t>
  </si>
  <si>
    <t>Cascade</t>
  </si>
  <si>
    <t>Quench</t>
  </si>
  <si>
    <t>Xtra</t>
  </si>
  <si>
    <t>Sun Splash</t>
  </si>
  <si>
    <t>House Brand</t>
  </si>
  <si>
    <t>TOTAL</t>
  </si>
  <si>
    <t>HIGHEST</t>
  </si>
  <si>
    <t>LOWEST</t>
  </si>
  <si>
    <t>AVERAGE PROFIT</t>
  </si>
  <si>
    <t>FORMULAS USED</t>
  </si>
  <si>
    <t>Markup %</t>
  </si>
  <si>
    <t>35% entered in LYONS!I3</t>
  </si>
  <si>
    <t>Markup per item</t>
  </si>
  <si>
    <t>Selling price</t>
  </si>
  <si>
    <t>Total income</t>
  </si>
  <si>
    <t>Profit</t>
  </si>
  <si>
    <t>Total litres</t>
  </si>
  <si>
    <t>Highest total income</t>
  </si>
  <si>
    <t>Lowest total income</t>
  </si>
  <si>
    <t>Average profit</t>
  </si>
  <si>
    <t>Highest profit</t>
  </si>
  <si>
    <t>Lowest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</si>
</sst>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1"/>
      <name val="Times New Roman"/>
    </font>
    <font>
      <b/>
      <sz val="10"/>
      <name val="Times New Roman"/>
    </font>
    <font>
      <b/>
      <sz val="9"/>
      <name val="Times New Roman"/>
    </font>
    <font>
      <sz val="9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2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4" fillId="0" borderId="2" xfId="0" applyFont="1" applyBorder="1"/>
    <xf numFmtId="2" fontId="4" fillId="0" borderId="2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6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PRODUCT COST PER UNIT</a:t>
            </a:r>
          </a:p>
        </c:rich>
      </c:tx>
      <c:layout>
        <c:manualLayout>
          <c:xMode val="edge"/>
          <c:yMode val="edge"/>
          <c:x val="2.115036571391826E-4"/>
          <c:y val="0.9047128201494358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LYONS!$B$7</c:f>
              <c:strCache>
                <c:ptCount val="1"/>
                <c:pt idx="0">
                  <c:v>COST PRICE
PER LITRE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LYONS!$A$8:$A$12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LYONS!$B$8:$B$12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0-4C37-9730-13755936C64C}"/>
            </c:ext>
          </c:extLst>
        </c:ser>
        <c:dLbls>
          <c:dLblPos val="inEnd"/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85725</xdr:rowOff>
    </xdr:from>
    <xdr:ext cx="5229224" cy="3175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6"/>
  <sheetViews>
    <sheetView showGridLines="0" tabSelected="1" workbookViewId="0">
      <selection activeCell="K8" sqref="K8"/>
    </sheetView>
  </sheetViews>
  <sheetFormatPr defaultRowHeight="15" x14ac:dyDescent="0.25"/>
  <cols>
    <col min="1" max="2" width="16" customWidth="1"/>
    <col min="3" max="3" width="18" customWidth="1"/>
    <col min="4" max="4" width="15" customWidth="1"/>
    <col min="5" max="5" width="14" customWidth="1"/>
    <col min="6" max="6" width="16" customWidth="1"/>
    <col min="7" max="7" width="14" customWidth="1"/>
    <col min="8" max="8" width="3" customWidth="1"/>
    <col min="9" max="9" width="20.42578125" customWidth="1"/>
  </cols>
  <sheetData>
    <row r="2" spans="1:9" ht="18.75" x14ac:dyDescent="0.3">
      <c r="A2" s="15" t="s">
        <v>0</v>
      </c>
      <c r="B2" s="16"/>
      <c r="C2" s="16"/>
      <c r="D2" s="16"/>
      <c r="E2" s="16"/>
      <c r="F2" s="16"/>
      <c r="G2" s="16"/>
      <c r="I2" s="18" t="s">
        <v>1</v>
      </c>
    </row>
    <row r="3" spans="1:9" x14ac:dyDescent="0.25">
      <c r="I3" s="19">
        <v>0.35</v>
      </c>
    </row>
    <row r="4" spans="1:9" x14ac:dyDescent="0.25">
      <c r="A4" s="17" t="s">
        <v>2</v>
      </c>
      <c r="B4" s="16"/>
      <c r="C4" s="16"/>
      <c r="D4" s="16"/>
      <c r="E4" s="16"/>
      <c r="F4" s="16"/>
      <c r="G4" s="16"/>
    </row>
    <row r="7" spans="1:9" ht="24" x14ac:dyDescent="0.25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</row>
    <row r="8" spans="1:9" x14ac:dyDescent="0.25">
      <c r="A8" s="4" t="s">
        <v>10</v>
      </c>
      <c r="B8" s="5">
        <v>3.75</v>
      </c>
      <c r="C8" s="5">
        <f>B8*$I$3</f>
        <v>1.3125</v>
      </c>
      <c r="D8" s="5">
        <f>B8+C8</f>
        <v>5.0625</v>
      </c>
      <c r="E8" s="6">
        <v>234</v>
      </c>
      <c r="F8" s="5">
        <f>E8*D8</f>
        <v>1184.625</v>
      </c>
      <c r="G8" s="5">
        <f>F8-(C8*E8)</f>
        <v>877.5</v>
      </c>
    </row>
    <row r="9" spans="1:9" x14ac:dyDescent="0.25">
      <c r="A9" s="4" t="s">
        <v>11</v>
      </c>
      <c r="B9" s="5">
        <v>3.65</v>
      </c>
      <c r="C9" s="5">
        <f>B9*$I$3</f>
        <v>1.2774999999999999</v>
      </c>
      <c r="D9" s="5">
        <f>B9+C9</f>
        <v>4.9275000000000002</v>
      </c>
      <c r="E9" s="6">
        <v>345</v>
      </c>
      <c r="F9" s="5">
        <f>E9*D9</f>
        <v>1699.9875000000002</v>
      </c>
      <c r="G9" s="5">
        <f>F9-(C9*E9)</f>
        <v>1259.2500000000002</v>
      </c>
    </row>
    <row r="10" spans="1:9" x14ac:dyDescent="0.25">
      <c r="A10" s="4" t="s">
        <v>12</v>
      </c>
      <c r="B10" s="5">
        <v>4.25</v>
      </c>
      <c r="C10" s="5">
        <f>B10*$I$3</f>
        <v>1.4874999999999998</v>
      </c>
      <c r="D10" s="5">
        <f>B10+C10</f>
        <v>5.7374999999999998</v>
      </c>
      <c r="E10" s="6">
        <v>456</v>
      </c>
      <c r="F10" s="5">
        <f>E10*D10</f>
        <v>2616.2999999999997</v>
      </c>
      <c r="G10" s="5">
        <f>F10-(C10*E10)</f>
        <v>1937.9999999999998</v>
      </c>
    </row>
    <row r="11" spans="1:9" x14ac:dyDescent="0.25">
      <c r="A11" s="4" t="s">
        <v>13</v>
      </c>
      <c r="B11" s="5">
        <v>1.5</v>
      </c>
      <c r="C11" s="5">
        <f>B11*$I$3</f>
        <v>0.52499999999999991</v>
      </c>
      <c r="D11" s="5">
        <f>B11+C11</f>
        <v>2.0249999999999999</v>
      </c>
      <c r="E11" s="6">
        <v>123</v>
      </c>
      <c r="F11" s="5">
        <f>E11*D11</f>
        <v>249.07499999999999</v>
      </c>
      <c r="G11" s="5">
        <f>F11-(C11*E11)</f>
        <v>184.5</v>
      </c>
    </row>
    <row r="12" spans="1:9" x14ac:dyDescent="0.25">
      <c r="A12" s="4" t="s">
        <v>14</v>
      </c>
      <c r="B12" s="5">
        <v>1.5</v>
      </c>
      <c r="C12" s="5">
        <f>B12*$I$3</f>
        <v>0.52499999999999991</v>
      </c>
      <c r="D12" s="5">
        <f>B12+C12</f>
        <v>2.0249999999999999</v>
      </c>
      <c r="E12" s="6">
        <v>245</v>
      </c>
      <c r="F12" s="5">
        <f>E12*D12</f>
        <v>496.125</v>
      </c>
      <c r="G12" s="5">
        <f>F12-(C12*E12)</f>
        <v>367.5</v>
      </c>
    </row>
    <row r="13" spans="1:9" x14ac:dyDescent="0.25">
      <c r="A13" s="7" t="s">
        <v>15</v>
      </c>
      <c r="B13" s="8"/>
      <c r="C13" s="8"/>
      <c r="D13" s="8"/>
      <c r="E13" s="9">
        <f>SUM(E8:E12)</f>
        <v>1403</v>
      </c>
      <c r="F13" s="8">
        <f>SUM(F8:F12)</f>
        <v>6246.1125000000002</v>
      </c>
      <c r="G13" s="8">
        <f>SUM(G8:G12)</f>
        <v>4626.75</v>
      </c>
    </row>
    <row r="14" spans="1:9" x14ac:dyDescent="0.25">
      <c r="A14" s="10" t="s">
        <v>16</v>
      </c>
      <c r="B14" s="11"/>
      <c r="C14" s="11"/>
      <c r="D14" s="11"/>
      <c r="E14" s="12"/>
      <c r="F14" s="11">
        <f>MAX(F8:F12)</f>
        <v>2616.2999999999997</v>
      </c>
      <c r="G14" s="11">
        <f>MAX(G8:G12)</f>
        <v>1937.9999999999998</v>
      </c>
    </row>
    <row r="15" spans="1:9" x14ac:dyDescent="0.25">
      <c r="A15" s="7" t="s">
        <v>17</v>
      </c>
      <c r="B15" s="8"/>
      <c r="C15" s="8"/>
      <c r="D15" s="8"/>
      <c r="E15" s="13"/>
      <c r="F15" s="8">
        <f>MIN(F8:F12)</f>
        <v>249.07499999999999</v>
      </c>
      <c r="G15" s="8">
        <f>MIN(G8:G12)</f>
        <v>184.5</v>
      </c>
    </row>
    <row r="16" spans="1:9" x14ac:dyDescent="0.25">
      <c r="A16" s="10"/>
      <c r="B16" s="11"/>
      <c r="C16" s="11"/>
      <c r="D16" s="11"/>
      <c r="E16" s="12" t="s">
        <v>18</v>
      </c>
      <c r="F16" s="11">
        <f>AVERAGE(G8:G12)</f>
        <v>925.35</v>
      </c>
      <c r="G16" s="11"/>
    </row>
  </sheetData>
  <mergeCells count="2">
    <mergeCell ref="A2:G2"/>
    <mergeCell ref="A4:G4"/>
  </mergeCells>
  <pageMargins left="0.3" right="0.3" top="0.45" bottom="0.45" header="0.2" footer="0.2"/>
  <pageSetup paperSize="9" orientation="landscape"/>
  <headerFooter>
    <oddFooter>&amp;C&amp;8 Name: ____________________   Subject: Computer Applications   Course: CAMS-1P01   Exam/Test: Practical   Q.No.: 4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5" x14ac:dyDescent="0.25"/>
  <cols>
    <col min="1" max="1" width="30" customWidth="1"/>
    <col min="2" max="2" width="70" customWidth="1"/>
  </cols>
  <sheetData>
    <row r="1" spans="1:2" ht="18.75" x14ac:dyDescent="0.3">
      <c r="A1" s="1" t="s">
        <v>19</v>
      </c>
    </row>
    <row r="2" spans="1:2" x14ac:dyDescent="0.25">
      <c r="A2" s="2" t="s">
        <v>20</v>
      </c>
      <c r="B2" s="14" t="s">
        <v>21</v>
      </c>
    </row>
    <row r="3" spans="1:2" x14ac:dyDescent="0.25">
      <c r="A3" s="2" t="s">
        <v>22</v>
      </c>
      <c r="B3" s="14">
        <f>B8*$I$3</f>
        <v>0</v>
      </c>
    </row>
    <row r="4" spans="1:2" x14ac:dyDescent="0.25">
      <c r="A4" s="2" t="s">
        <v>23</v>
      </c>
      <c r="B4" s="14">
        <f>B8+C8</f>
        <v>0</v>
      </c>
    </row>
    <row r="5" spans="1:2" x14ac:dyDescent="0.25">
      <c r="A5" s="2" t="s">
        <v>24</v>
      </c>
      <c r="B5" s="14">
        <f>E8*D8</f>
        <v>0</v>
      </c>
    </row>
    <row r="6" spans="1:2" x14ac:dyDescent="0.25">
      <c r="A6" s="2" t="s">
        <v>25</v>
      </c>
      <c r="B6" s="14">
        <f>F8-(C8*E8)</f>
        <v>0</v>
      </c>
    </row>
    <row r="7" spans="1:2" x14ac:dyDescent="0.25">
      <c r="A7" s="2" t="s">
        <v>26</v>
      </c>
      <c r="B7" s="14">
        <f>SUM(E8:E12)</f>
        <v>0</v>
      </c>
    </row>
    <row r="8" spans="1:2" x14ac:dyDescent="0.25">
      <c r="A8" s="2" t="s">
        <v>27</v>
      </c>
      <c r="B8" s="14">
        <f>MAX(F8:F12)</f>
        <v>0</v>
      </c>
    </row>
    <row r="9" spans="1:2" x14ac:dyDescent="0.25">
      <c r="A9" s="2" t="s">
        <v>28</v>
      </c>
      <c r="B9" s="14">
        <f>MIN(F8:F12)</f>
        <v>0</v>
      </c>
    </row>
    <row r="10" spans="1:2" x14ac:dyDescent="0.25">
      <c r="A10" s="2" t="s">
        <v>29</v>
      </c>
      <c r="B10" s="14" t="e">
        <f>AVERAGE(G8:G12)</f>
        <v>#DIV/0!</v>
      </c>
    </row>
    <row r="11" spans="1:2" x14ac:dyDescent="0.25">
      <c r="A11" s="2" t="s">
        <v>30</v>
      </c>
      <c r="B11" s="14">
        <f>MAX(G8:G12)</f>
        <v>0</v>
      </c>
    </row>
    <row r="12" spans="1:2" x14ac:dyDescent="0.25">
      <c r="A12" s="2" t="s">
        <v>31</v>
      </c>
      <c r="B12" s="14">
        <f>MIN(G8:G12)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LYONS</vt:lpstr>
      <vt:lpstr>Formulas</vt:lpstr>
      <vt:lpstr>LYONS!Print_Area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CSD</cp:lastModifiedBy>
  <dcterms:created xsi:type="dcterms:W3CDTF">2026-08-11T18:35:10Z</dcterms:created>
  <dcterms:modified xsi:type="dcterms:W3CDTF">2026-08-12T07:36:15Z</dcterms:modified>
</cp:coreProperties>
</file>